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708" activeTab="2"/>
  </bookViews>
  <sheets>
    <sheet name="Named ranges" sheetId="1" r:id="rId1"/>
    <sheet name="textfunc" sheetId="2" r:id="rId2"/>
    <sheet name="datefunc" sheetId="3" r:id="rId3"/>
  </sheets>
  <definedNames>
    <definedName name="Sales">'Named ranges'!$B$4:$B$6</definedName>
    <definedName name="ingredients">'Named ranges'!$B$8</definedName>
    <definedName name="sale_price">'Named ranges'!$B$9</definedName>
    <definedName name="overheads">'Named ranges'!$B$10</definedName>
    <definedName name="fiveno">textfunc!$D$3:$D$7</definedName>
    <definedName name="rev">'Named ranges'!$C$4:$C$6</definedName>
    <definedName name="costs">'Named ranges'!$D$4:$D$6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<sst xmlns="http://schemas.openxmlformats.org/spreadsheetml/2006/main" count="30" uniqueCount="30">
  <si>
    <t>Basic Business Plan for The Cycling Muffin Man - First Month</t>
  </si>
  <si>
    <t>Sales</t>
  </si>
  <si>
    <t>Revenue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</si>
  <si>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</si>
  <si>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</si>
  <si>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</si>
  <si>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</si>
  <si>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</si>
  <si>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</si>
  <si>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</si>
  <si>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</si>
  <si>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Use 'Muffin man.clsx', give proper names to the cells and complete the sheet. Use following as the hint: |Revnue = Sales * Sale Price | Costs= (Ingredients* Sales) + (Overheads * Sales) | Profits = Revenue - Costs|</t>
  </si>
  <si>
    <t>LEN</t>
  </si>
  <si>
    <t>CONCAT</t>
  </si>
  <si>
    <t>trim</t>
  </si>
  <si>
    <t>right</t>
  </si>
  <si>
    <t>left</t>
  </si>
  <si>
    <t>mid</t>
  </si>
  <si>
    <t>replace</t>
  </si>
  <si>
    <t>upper_case</t>
  </si>
  <si>
    <t>lower_case</t>
  </si>
  <si>
    <t>today</t>
  </si>
  <si>
    <t>now</t>
  </si>
  <si>
    <t>date</t>
  </si>
  <si>
    <t>year</t>
  </si>
  <si>
    <t>month</t>
  </si>
  <si>
    <t>text</t>
  </si>
  <si>
    <t>weekday</t>
  </si>
  <si>
    <t>weeknumber</t>
  </si>
  <si>
    <t>datediff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</si>
</sst>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0" fontId="11" fillId="4" borderId="11" applyNumberFormat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58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horizontal style="thin">
          <color theme="7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3_Accent4" pivot="0" count="7" xr9:uid="{4A27E7FE-5595-4694-93E8-6046CB10863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microsoft.com/office/2017/06/relationships/rdRichValue" Target="richData/rdrichvalue.xml"/><Relationship Id="rId7" Type="http://schemas.microsoft.com/office/2017/06/relationships/rdRichValueStructure" Target="richData/rdrichvaluestructure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0</v>
    <v>8</v>
    <v>2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id="2" name="Table2" displayName="Table2" ref="B3:E6" totalsRowShown="0">
  <autoFilter xmlns:etc="http://www.wps.cn/officeDocument/2017/etCustomData" ref="B3:E6" etc:filterBottomFollowUsedRange="0"/>
  <tableColumns count="4">
    <tableColumn id="1" name="Sales"/>
    <tableColumn id="2" name="Revenue"/>
    <tableColumn id="3" name="Costs"/>
    <tableColumn id="4" name="Profit"/>
  </tableColumns>
  <tableStyleInfo name="TableStylePreset3_Accent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selection activeCell="I8" sqref="I8"/>
    </sheetView>
  </sheetViews>
  <sheetFormatPr defaultColWidth="8.88888888888889" defaultRowHeight="14.4"/>
  <cols>
    <col min="1" max="1" width="57.5555555555556" customWidth="1"/>
  </cols>
  <sheetData>
    <row r="1" spans="1:11">
      <c r="A1" s="3" t="s">
        <v>0</v>
      </c>
    </row>
    <row r="3" spans="1:11">
      <c r="B3" t="s">
        <v>1</v>
      </c>
      <c r="C3" t="s">
        <v>2</v>
      </c>
      <c r="D3" t="s">
        <v>3</v>
      </c>
      <c r="E3" t="s">
        <v>4</v>
      </c>
    </row>
    <row r="4" spans="1:11">
      <c r="A4" t="s">
        <v>5</v>
      </c>
      <c r="B4" s="4">
        <v>6700</v>
      </c>
      <c r="C4" s="5" vm="1" t="e" cm="1">
        <f ca="1" t="array" ref="C4">Sales*sale_price</f>
        <v>#VALUE!</v>
      </c>
      <c r="D4" s="5" vm="1" t="e" cm="1">
        <f ca="1" t="array" ref="D4">(ingredients*Sales)+(overheads*Sales)</f>
        <v>#VALUE!</v>
      </c>
      <c r="E4" s="6" vm="1" t="e" cm="1">
        <f ca="1" t="array" ref="E4">rev-costs</f>
        <v>#VALUE!</v>
      </c>
    </row>
    <row r="5" spans="1:11">
      <c r="A5" t="s">
        <v>6</v>
      </c>
      <c r="B5" s="4">
        <v>5500</v>
      </c>
      <c r="C5" s="5"/>
      <c r="D5" s="5"/>
      <c r="E5" s="6"/>
    </row>
    <row r="6" spans="1:11">
      <c r="A6" t="s">
        <v>7</v>
      </c>
      <c r="B6" s="7">
        <v>2200</v>
      </c>
      <c r="C6" s="8"/>
      <c r="D6" s="8"/>
      <c r="E6" s="9"/>
    </row>
    <row r="8" spans="1:11">
      <c r="A8" t="s">
        <v>8</v>
      </c>
      <c r="B8">
        <v>0.62</v>
      </c>
    </row>
    <row r="9" spans="1:11">
      <c r="A9" t="s">
        <v>9</v>
      </c>
      <c r="B9">
        <v>1.55</v>
      </c>
    </row>
    <row r="10" spans="1:11">
      <c r="A10" t="s">
        <v>10</v>
      </c>
      <c r="B10">
        <v>0.34</v>
      </c>
    </row>
    <row r="12" spans="1:11"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</row>
    <row r="13" spans="1:11"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2:11"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2:11"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2:11"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2:11"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2:11">
      <c r="B21" s="10"/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1">
    <mergeCell ref="B12:K21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C12"/>
  <sheetViews>
    <sheetView workbookViewId="0">
      <selection activeCell="C13" sqref="C13"/>
    </sheetView>
  </sheetViews>
  <sheetFormatPr defaultColWidth="8.88888888888889" defaultRowHeight="14.4" outlineLevelCol="2"/>
  <sheetData>
    <row r="4" spans="2:3">
      <c r="B4" t="s">
        <v>12</v>
      </c>
      <c r="C4">
        <f>LEN("ADWAITKOLI")</f>
        <v>10</v>
      </c>
    </row>
    <row r="5" spans="2:3">
      <c r="B5" t="s">
        <v>13</v>
      </c>
      <c r="C5" t="str">
        <f>_xlfn.CONCAT("ADWAIT"," ","KOLI")</f>
        <v>ADWAIT KOLI</v>
      </c>
    </row>
    <row r="6" spans="2:3">
      <c r="B6" t="s">
        <v>14</v>
      </c>
      <c r="C6" t="str">
        <f>TRIM(" adwait ")</f>
        <v>adwait</v>
      </c>
    </row>
    <row r="7" spans="2:3">
      <c r="B7" t="s">
        <v>15</v>
      </c>
      <c r="C7" t="str">
        <f>RIGHT("adwait",3)</f>
        <v>ait</v>
      </c>
    </row>
    <row r="8" spans="2:3">
      <c r="B8" t="s">
        <v>16</v>
      </c>
    </row>
    <row r="9" spans="2:3">
      <c r="B9" t="s">
        <v>17</v>
      </c>
    </row>
    <row r="10" spans="2:3">
      <c r="B10" t="s">
        <v>18</v>
      </c>
      <c r="C10" t="str">
        <f>REPLACE("adwait",1,2,"adu")</f>
        <v>aduwait</v>
      </c>
    </row>
    <row r="11" spans="2:3">
      <c r="B11" t="s">
        <v>19</v>
      </c>
      <c r="C11" t="str">
        <f>UPPER("adwait")</f>
        <v>ADWAIT</v>
      </c>
    </row>
    <row r="12" spans="2:3">
      <c r="B12" t="s">
        <v>20</v>
      </c>
      <c r="C12" t="str">
        <f>LOWER(C5)</f>
        <v>adwait koli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G11"/>
  <sheetViews>
    <sheetView tabSelected="1" workbookViewId="0">
      <selection activeCell="F5" sqref="F5"/>
    </sheetView>
  </sheetViews>
  <sheetFormatPr defaultColWidth="8.88888888888889" defaultRowHeight="14.4" outlineLevelCol="6"/>
  <cols>
    <col min="5" max="5" width="14.7777777777778"/>
  </cols>
  <sheetData>
    <row r="4" spans="4:7">
      <c r="D4" t="s">
        <v>21</v>
      </c>
      <c r="E4" s="1">
        <f ca="1">TODAY()</f>
        <v>46268</v>
      </c>
    </row>
    <row r="5" spans="4:7">
      <c r="D5" t="s">
        <v>22</v>
      </c>
      <c r="E5" s="2">
        <f ca="1">NOW()</f>
        <v>46268.7894791667</v>
      </c>
    </row>
    <row r="6" spans="4:7">
      <c r="D6" t="s">
        <v>23</v>
      </c>
      <c r="E6" s="1">
        <f>DATE(2003,9,3)</f>
        <v>37867</v>
      </c>
    </row>
    <row r="7" spans="4:7">
      <c r="D7" t="s">
        <v>24</v>
      </c>
      <c r="E7">
        <f>YEAR(E6)</f>
        <v>2003</v>
      </c>
    </row>
    <row r="8" spans="4:7">
      <c r="D8" t="s">
        <v>25</v>
      </c>
      <c r="E8">
        <f>MONTH(E6)</f>
        <v>9</v>
      </c>
      <c r="F8" t="s">
        <v>26</v>
      </c>
      <c r="G8" t="str">
        <f ca="1">TEXT(E4,"MMMM")</f>
        <v>September</v>
      </c>
    </row>
    <row r="9" spans="4:7">
      <c r="D9" t="s">
        <v>27</v>
      </c>
      <c r="E9">
        <f>WEEKDAY(E6,1)</f>
        <v>4</v>
      </c>
    </row>
    <row r="10" spans="4:7">
      <c r="D10" t="s">
        <v>28</v>
      </c>
      <c r="E10">
        <f>WEEKNUM(E6,1)</f>
        <v>36</v>
      </c>
    </row>
    <row r="11" spans="4:7">
      <c r="D11" t="s">
        <v>29</v>
      </c>
      <c r="E11" s="1" t="e" cm="1">
        <f t="array" ref="E11">DATEd</f>
        <v>#NAME?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Named ranges</vt:lpstr>
      <vt:lpstr>textfunc</vt:lpstr>
      <vt:lpstr>datefunc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adwai</dc:creator>
  <cp:lastModifiedBy>adwai</cp:lastModifiedBy>
  <dcterms:created xsi:type="dcterms:W3CDTF">2026-09-03T11:41:14Z</dcterms:created>
  <dcterms:modified xsi:type="dcterms:W3CDTF">2026-09-03T13:27:53Z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EDC1D2713CA148CBAB4F44E9E6216524_11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